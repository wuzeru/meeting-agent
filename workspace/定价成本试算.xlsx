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用量与成本" sheetId="2" state="visible" r:id="rId2"/>
    <sheet xmlns:r="http://schemas.openxmlformats.org/officeDocument/2006/relationships" name="定价与毛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22" customWidth="1" min="4" max="4"/>
  </cols>
  <sheetData>
    <row r="1">
      <c r="A1" s="1" t="inlineStr">
        <is>
          <t>说明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备注</t>
        </is>
      </c>
    </row>
    <row r="2">
      <c r="A2" t="inlineStr">
        <is>
          <t>每人每月目标价（含税前）</t>
        </is>
      </c>
      <c r="B2" t="n">
        <v>99</v>
      </c>
      <c r="C2" t="inlineStr">
        <is>
          <t>元</t>
        </is>
      </c>
      <c r="D2" t="inlineStr">
        <is>
          <t>可自行改</t>
        </is>
      </c>
    </row>
    <row r="3">
      <c r="A3" t="inlineStr">
        <is>
          <t>每席位 / 每工作区月费（试算）</t>
        </is>
      </c>
      <c r="B3" t="n">
        <v>199</v>
      </c>
      <c r="C3" t="inlineStr">
        <is>
          <t>元</t>
        </is>
      </c>
    </row>
    <row r="4">
      <c r="A4" t="inlineStr">
        <is>
          <t>含税率（估算）</t>
        </is>
      </c>
      <c r="B4" t="n">
        <v>0</v>
      </c>
      <c r="C4" t="inlineStr">
        <is>
          <t>小数</t>
        </is>
      </c>
      <c r="D4" t="inlineStr">
        <is>
          <t>0 表示不算税</t>
        </is>
      </c>
    </row>
    <row r="5">
      <c r="A5" t="inlineStr">
        <is>
          <t>主模型每百万 token 成本</t>
        </is>
      </c>
      <c r="B5" t="n">
        <v>2</v>
      </c>
      <c r="C5" t="inlineStr">
        <is>
          <t>元</t>
        </is>
      </c>
      <c r="D5" t="inlineStr">
        <is>
          <t>按你实际 API</t>
        </is>
      </c>
    </row>
    <row r="6">
      <c r="A6" t="inlineStr">
        <is>
          <t>人均月对话估算轮次</t>
        </is>
      </c>
      <c r="B6" t="n">
        <v>500</v>
      </c>
      <c r="C6" t="inlineStr">
        <is>
          <t>轮</t>
        </is>
      </c>
    </row>
    <row r="7">
      <c r="A7" t="inlineStr">
        <is>
          <t>每轮平均输出 token（估）</t>
        </is>
      </c>
      <c r="B7" t="n">
        <v>800</v>
      </c>
      <c r="C7" t="inlineStr">
        <is>
          <t>tokens</t>
        </is>
      </c>
    </row>
    <row r="8">
      <c r="A8" t="inlineStr">
        <is>
          <t>台账月均处理页数</t>
        </is>
      </c>
      <c r="B8" t="n">
        <v>200</v>
      </c>
      <c r="C8" t="inlineStr">
        <is>
          <t>页</t>
        </is>
      </c>
    </row>
    <row r="9">
      <c r="A9" t="inlineStr">
        <is>
          <t>每页抽取平均 token（估）</t>
        </is>
      </c>
      <c r="B9" t="n">
        <v>1500</v>
      </c>
      <c r="C9" t="inlineStr">
        <is>
          <t>tokens</t>
        </is>
      </c>
    </row>
    <row r="10">
      <c r="A10" t="inlineStr">
        <is>
          <t>视觉 / 文档识别月均次数</t>
        </is>
      </c>
      <c r="B10" t="n">
        <v>50</v>
      </c>
      <c r="C10" t="inlineStr">
        <is>
          <t>次</t>
        </is>
      </c>
    </row>
    <row r="11">
      <c r="A11" t="inlineStr">
        <is>
          <t>单次识别平均 token</t>
        </is>
      </c>
      <c r="B11" t="n">
        <v>3000</v>
      </c>
      <c r="C11" t="inlineStr">
        <is>
          <t>tokens</t>
        </is>
      </c>
    </row>
    <row r="12">
      <c r="A12" t="inlineStr">
        <is>
          <t>云主机 / 运维摊销（每户月）</t>
        </is>
      </c>
      <c r="B12" t="n">
        <v>15</v>
      </c>
      <c r="C12" t="inlineStr">
        <is>
          <t>元</t>
        </is>
      </c>
      <c r="D12" t="inlineStr">
        <is>
          <t>自托管可填低些</t>
        </is>
      </c>
    </row>
    <row r="13">
      <c r="A13" t="inlineStr">
        <is>
          <t>飞书告警等三方（每户月）</t>
        </is>
      </c>
      <c r="B13" t="n">
        <v>0</v>
      </c>
      <c r="C13" t="inlineStr">
        <is>
          <t>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</cols>
  <sheetData>
    <row r="1">
      <c r="A1" s="2" t="inlineStr">
        <is>
          <t>项目</t>
        </is>
      </c>
      <c r="B1" t="inlineStr">
        <is>
          <t>公式 / 引用</t>
        </is>
      </c>
      <c r="C1" t="inlineStr">
        <is>
          <t>结果（自动）</t>
        </is>
      </c>
    </row>
    <row r="2">
      <c r="A2" t="inlineStr">
        <is>
          <t>月主模型 tokens 估算</t>
        </is>
      </c>
      <c r="B2">
        <f>参数!B7*参数!B8*2</f>
        <v/>
      </c>
      <c r="C2" s="3" t="inlineStr"/>
    </row>
    <row r="3">
      <c r="A3" t="inlineStr">
        <is>
          <t>月台账 tokens 估算</t>
        </is>
      </c>
      <c r="B3">
        <f>参数!B7*参数!B8*2</f>
        <v/>
      </c>
      <c r="C3" s="3">
        <f>参数!B7*参数!B8*2</f>
        <v/>
      </c>
    </row>
    <row r="4">
      <c r="A4" t="inlineStr">
        <is>
          <t>月视觉 tokens 估算</t>
        </is>
      </c>
      <c r="B4">
        <f>参数!B9*参数!B10</f>
        <v/>
      </c>
      <c r="C4" s="3">
        <f>参数!B9*参数!B10</f>
        <v/>
      </c>
    </row>
    <row r="5">
      <c r="A5" t="inlineStr">
        <is>
          <t>月 token 合计</t>
        </is>
      </c>
      <c r="B5">
        <f>参数!B11*参数!B12</f>
        <v/>
      </c>
      <c r="C5" s="3">
        <f>参数!B11*参数!B12</f>
        <v/>
      </c>
    </row>
    <row r="6">
      <c r="A6" t="inlineStr">
        <is>
          <t>月模型 API 成本（元）</t>
        </is>
      </c>
      <c r="B6">
        <f>C3+C4+C5</f>
        <v/>
      </c>
      <c r="C6" s="3">
        <f>C3+C4+C5</f>
        <v/>
      </c>
    </row>
    <row r="7">
      <c r="A7" t="inlineStr">
        <is>
          <t>固定摊销（元）</t>
        </is>
      </c>
      <c r="B7">
        <f>C6/1000000*参数!B6</f>
        <v/>
      </c>
      <c r="C7" s="3">
        <f>C6/1000000*参数!B6</f>
        <v/>
      </c>
    </row>
    <row r="8">
      <c r="A8" t="inlineStr">
        <is>
          <t>单月单客总成本（元）</t>
        </is>
      </c>
      <c r="B8">
        <f>参数!B13+参数!B14</f>
        <v/>
      </c>
      <c r="C8" s="3">
        <f>参数!B13+参数!B14</f>
        <v/>
      </c>
    </row>
    <row r="9">
      <c r="B9">
        <f>C7+C8</f>
        <v/>
      </c>
      <c r="C9">
        <f>C7+C8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2" t="inlineStr">
        <is>
          <t>项目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每工作区月费（元）</t>
        </is>
      </c>
      <c r="B2" s="3">
        <f>参数!B3</f>
        <v/>
      </c>
    </row>
    <row r="3">
      <c r="A3" t="inlineStr">
        <is>
          <t>单客月成本（元）</t>
        </is>
      </c>
      <c r="B3" s="3">
        <f>'用量与成本'!C9</f>
        <v/>
      </c>
    </row>
    <row r="4">
      <c r="A4" t="inlineStr">
        <is>
          <t>单客月毛利（元）</t>
        </is>
      </c>
      <c r="B4" s="3">
        <f>B2-B3</f>
        <v/>
      </c>
    </row>
    <row r="5">
      <c r="A5" t="inlineStr">
        <is>
          <t>毛利率</t>
        </is>
      </c>
      <c r="B5" s="4">
        <f>IF(B2=0,"",B4/B2)</f>
        <v/>
      </c>
    </row>
    <row r="6">
      <c r="A6" t="inlineStr">
        <is>
          <t>若月活客户数</t>
        </is>
      </c>
      <c r="B6" s="5" t="n">
        <v>30</v>
      </c>
      <c r="C6" t="inlineStr">
        <is>
          <t>家</t>
        </is>
      </c>
      <c r="D6" t="inlineStr">
        <is>
          <t>自行改</t>
        </is>
      </c>
    </row>
    <row r="7">
      <c r="A7" t="inlineStr">
        <is>
          <t>月毛利合计（元）</t>
        </is>
      </c>
      <c r="B7" s="3">
        <f>B4*B6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2026-04-28T07:57:03Z</dcterms:created>
  <dcterms:modified xmlns:dcterms="http://purl.org/dc/terms/" xmlns:xsi="http://www.w3.org/2001/XMLSchema-instance" xsi:type="dcterms:W3CDTF">2026-04-28T07:57:11Z</dcterms:modified>
</cp:coreProperties>
</file>